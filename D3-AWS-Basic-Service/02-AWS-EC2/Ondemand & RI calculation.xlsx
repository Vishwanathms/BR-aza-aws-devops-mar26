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vcl-data\TechDocs\AWS\04-AWS-EC2\"/>
    </mc:Choice>
  </mc:AlternateContent>
  <xr:revisionPtr revIDLastSave="0" documentId="13_ncr:1_{E1E47335-6FD5-4AB5-95E4-5220A82ABE04}" xr6:coauthVersionLast="47" xr6:coauthVersionMax="47" xr10:uidLastSave="{00000000-0000-0000-0000-000000000000}"/>
  <bookViews>
    <workbookView xWindow="28680" yWindow="-120" windowWidth="29040" windowHeight="15720" tabRatio="474" activeTab="1" xr2:uid="{00000000-000D-0000-FFFF-FFFF00000000}"/>
  </bookViews>
  <sheets>
    <sheet name="Sheet1" sheetId="1" r:id="rId1"/>
    <sheet name="Sheet1 (2)" sheetId="2" r:id="rId2"/>
    <sheet name="Redshift" sheetId="3" r:id="rId3"/>
    <sheet name="Sheet3" sheetId="4" r:id="rId4"/>
    <sheet name="Sheet2" sheetId="5" r:id="rId5"/>
    <sheet name="C4.larg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6" l="1"/>
  <c r="D51" i="6" s="1"/>
  <c r="E10" i="6"/>
  <c r="E9" i="6"/>
  <c r="E4" i="6"/>
  <c r="F13" i="6"/>
  <c r="F12" i="6"/>
  <c r="E14" i="6" l="1"/>
  <c r="F14" i="6" s="1"/>
  <c r="H14" i="6" s="1"/>
  <c r="K5" i="6"/>
  <c r="K7" i="6" s="1"/>
  <c r="F10" i="6"/>
  <c r="H8" i="6"/>
  <c r="F4" i="6"/>
  <c r="K34" i="6"/>
  <c r="K36" i="6" s="1"/>
  <c r="E34" i="6"/>
  <c r="F34" i="6" s="1"/>
  <c r="E33" i="6"/>
  <c r="F33" i="6" s="1"/>
  <c r="H33" i="6" s="1"/>
  <c r="F25" i="6"/>
  <c r="F24" i="6"/>
  <c r="K23" i="6"/>
  <c r="J23" i="6"/>
  <c r="K20" i="6"/>
  <c r="E20" i="6" s="1"/>
  <c r="F20" i="6" s="1"/>
  <c r="E19" i="6"/>
  <c r="F19" i="6" s="1"/>
  <c r="K10" i="6"/>
  <c r="F9" i="6" l="1"/>
  <c r="H9" i="6" s="1"/>
  <c r="H10" i="6"/>
  <c r="F11" i="6"/>
  <c r="G5" i="6"/>
  <c r="E5" i="6"/>
  <c r="F5" i="6" s="1"/>
  <c r="H5" i="6" s="1"/>
  <c r="H4" i="6"/>
  <c r="F1" i="6"/>
  <c r="F16" i="6"/>
  <c r="F35" i="6"/>
  <c r="G34" i="6"/>
  <c r="H34" i="6"/>
  <c r="G20" i="6"/>
  <c r="E4" i="2"/>
  <c r="F6" i="6" l="1"/>
  <c r="A5" i="6"/>
  <c r="F10" i="2"/>
  <c r="E10" i="2"/>
  <c r="F11" i="2" l="1"/>
  <c r="E14" i="2" l="1"/>
  <c r="F14" i="2" s="1"/>
  <c r="F10" i="3" l="1"/>
  <c r="J10" i="4" l="1"/>
  <c r="K10" i="4" s="1"/>
  <c r="L10" i="4" s="1"/>
  <c r="I15" i="4"/>
  <c r="I16" i="4" s="1"/>
  <c r="J14" i="4"/>
  <c r="J15" i="4" s="1"/>
  <c r="I7" i="4"/>
  <c r="J7" i="4" s="1"/>
  <c r="K7" i="4" s="1"/>
  <c r="L7" i="4" s="1"/>
  <c r="F25" i="3"/>
  <c r="F24" i="3"/>
  <c r="J23" i="3"/>
  <c r="K23" i="3" s="1"/>
  <c r="K20" i="3"/>
  <c r="E20" i="3" s="1"/>
  <c r="F20" i="3" s="1"/>
  <c r="E19" i="3"/>
  <c r="F19" i="3" s="1"/>
  <c r="E14" i="3"/>
  <c r="F14" i="3" s="1"/>
  <c r="H14" i="3" s="1"/>
  <c r="F13" i="3"/>
  <c r="H13" i="3" s="1"/>
  <c r="K10" i="3"/>
  <c r="K12" i="3" s="1"/>
  <c r="H10" i="3"/>
  <c r="E10" i="3"/>
  <c r="E9" i="3"/>
  <c r="F9" i="3" s="1"/>
  <c r="H9" i="3" s="1"/>
  <c r="H8" i="3"/>
  <c r="K5" i="3"/>
  <c r="K7" i="3" s="1"/>
  <c r="E4" i="3"/>
  <c r="F4" i="3" s="1"/>
  <c r="H4" i="3" s="1"/>
  <c r="L13" i="4" l="1"/>
  <c r="E5" i="3"/>
  <c r="F5" i="3" s="1"/>
  <c r="H5" i="3" s="1"/>
  <c r="G5" i="3"/>
  <c r="G20" i="3"/>
  <c r="K10" i="2"/>
  <c r="F4" i="2" l="1"/>
  <c r="F1" i="2" l="1"/>
  <c r="F16" i="2"/>
  <c r="K34" i="2"/>
  <c r="K36" i="2" s="1"/>
  <c r="E33" i="2"/>
  <c r="F33" i="2" s="1"/>
  <c r="H33" i="2" s="1"/>
  <c r="E34" i="2" l="1"/>
  <c r="F34" i="2" s="1"/>
  <c r="E9" i="2"/>
  <c r="G34" i="2" l="1"/>
  <c r="F35" i="2"/>
  <c r="H34" i="2"/>
  <c r="F9" i="2"/>
  <c r="H10" i="2" l="1"/>
  <c r="F25" i="2"/>
  <c r="F24" i="2"/>
  <c r="J23" i="2"/>
  <c r="K23" i="2" s="1"/>
  <c r="K20" i="2"/>
  <c r="E20" i="2" s="1"/>
  <c r="F20" i="2" s="1"/>
  <c r="E19" i="2"/>
  <c r="F19" i="2" s="1"/>
  <c r="H14" i="2"/>
  <c r="F13" i="2"/>
  <c r="H13" i="2" s="1"/>
  <c r="K9" i="2"/>
  <c r="H9" i="2"/>
  <c r="H8" i="2"/>
  <c r="K5" i="2"/>
  <c r="H4" i="2"/>
  <c r="K7" i="2" l="1"/>
  <c r="G5" i="2" s="1"/>
  <c r="E5" i="2"/>
  <c r="F5" i="2" s="1"/>
  <c r="K12" i="2"/>
  <c r="G20" i="2"/>
  <c r="E9" i="1"/>
  <c r="F9" i="1" s="1"/>
  <c r="H5" i="2" l="1"/>
  <c r="F6" i="2"/>
  <c r="A5" i="2"/>
  <c r="K5" i="1"/>
  <c r="K7" i="1" s="1"/>
  <c r="F13" i="1"/>
  <c r="H13" i="1" s="1"/>
  <c r="E14" i="1"/>
  <c r="F14" i="1" s="1"/>
  <c r="H14" i="1" s="1"/>
  <c r="H9" i="1"/>
  <c r="H8" i="1"/>
  <c r="E10" i="1"/>
  <c r="K20" i="1" l="1"/>
  <c r="F24" i="1"/>
  <c r="F25" i="1"/>
  <c r="J23" i="1"/>
  <c r="K23" i="1" s="1"/>
  <c r="E20" i="1"/>
  <c r="F20" i="1" s="1"/>
  <c r="E19" i="1"/>
  <c r="F19" i="1" s="1"/>
  <c r="K10" i="1"/>
  <c r="K12" i="1" s="1"/>
  <c r="E4" i="1"/>
  <c r="F4" i="1" s="1"/>
  <c r="H4" i="1" s="1"/>
  <c r="F10" i="1"/>
  <c r="H10" i="1" s="1"/>
  <c r="E5" i="1" l="1"/>
  <c r="F5" i="1" s="1"/>
  <c r="G20" i="1"/>
  <c r="G5" i="1" l="1"/>
  <c r="H5" i="1"/>
</calcChain>
</file>

<file path=xl/sharedStrings.xml><?xml version="1.0" encoding="utf-8"?>
<sst xmlns="http://schemas.openxmlformats.org/spreadsheetml/2006/main" count="223" uniqueCount="44">
  <si>
    <t>t2.large</t>
  </si>
  <si>
    <t>1 month</t>
  </si>
  <si>
    <t>12 months</t>
  </si>
  <si>
    <t>Ondemand</t>
  </si>
  <si>
    <t>Perhr</t>
  </si>
  <si>
    <t>stan -- ALL upfront</t>
  </si>
  <si>
    <t>Stan -- P upfront</t>
  </si>
  <si>
    <t>Stan -- no Upfront</t>
  </si>
  <si>
    <t>Monthly no of days</t>
  </si>
  <si>
    <t>Linux</t>
  </si>
  <si>
    <t>Windows</t>
  </si>
  <si>
    <t>Per Day no of hrs</t>
  </si>
  <si>
    <t>Per hr cost</t>
  </si>
  <si>
    <t>1 Yr term</t>
  </si>
  <si>
    <t>3 Yr Term</t>
  </si>
  <si>
    <t>36 Months</t>
  </si>
  <si>
    <t>NA</t>
  </si>
  <si>
    <t>Utilization</t>
  </si>
  <si>
    <t>no of Hrs in a yr</t>
  </si>
  <si>
    <t>Total hrs in yr</t>
  </si>
  <si>
    <t>no of Months</t>
  </si>
  <si>
    <t>Total hrs in month</t>
  </si>
  <si>
    <t>OnDemand</t>
  </si>
  <si>
    <t>1 Yr Contract</t>
  </si>
  <si>
    <t>c4.large</t>
  </si>
  <si>
    <t>dc2.8xlarge</t>
  </si>
  <si>
    <t>Upfront cost</t>
  </si>
  <si>
    <t>monthly Savings</t>
  </si>
  <si>
    <t>Annual Saving</t>
  </si>
  <si>
    <t>Saving %</t>
  </si>
  <si>
    <t>dc2.large</t>
  </si>
  <si>
    <t>for 3 yrs</t>
  </si>
  <si>
    <t>Per Day cost for All</t>
  </si>
  <si>
    <t>on Demand Cost per Hr</t>
  </si>
  <si>
    <t>No of Machines</t>
  </si>
  <si>
    <t>per Yr Cost for All VM's</t>
  </si>
  <si>
    <t>3 yrs cost for All VM's</t>
  </si>
  <si>
    <t>ON-Demand</t>
  </si>
  <si>
    <t>Total</t>
  </si>
  <si>
    <t>m5.xlarge</t>
  </si>
  <si>
    <t>If the yearly usage if around 60% and the customer would use it for min of 2min yrs -- then go for 3 yrs subscription</t>
  </si>
  <si>
    <t>Or -- If the Yrly usage is around 45% &amp; the customer would use it for next min 3 yrs, -- even then go for 3 yrs subscription</t>
  </si>
  <si>
    <t>2 yrs</t>
  </si>
  <si>
    <t>M5.xlarge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</si>
</sst>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"/>
    <numFmt numFmtId="165" formatCode="[$$-409]#,##0"/>
    <numFmt numFmtId="166" formatCode="&quot;$&quot;#,##0"/>
    <numFmt numFmtId="167" formatCode="&quot;$&quot;#,##0.00"/>
    <numFmt numFmtId="168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65" fontId="1" fillId="0" borderId="1" xfId="0" applyNumberFormat="1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164" fontId="0" fillId="0" borderId="0" xfId="0" applyNumberFormat="1"/>
    <xf numFmtId="165" fontId="0" fillId="0" borderId="0" xfId="0" applyNumberFormat="1"/>
    <xf numFmtId="0" fontId="0" fillId="0" borderId="8" xfId="0" applyBorder="1"/>
    <xf numFmtId="0" fontId="1" fillId="0" borderId="5" xfId="0" applyFont="1" applyBorder="1"/>
    <xf numFmtId="164" fontId="1" fillId="0" borderId="0" xfId="0" applyNumberFormat="1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6" fontId="0" fillId="0" borderId="0" xfId="0" applyNumberFormat="1"/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67" fontId="0" fillId="0" borderId="0" xfId="0" applyNumberFormat="1"/>
    <xf numFmtId="167" fontId="0" fillId="0" borderId="5" xfId="0" applyNumberFormat="1" applyBorder="1"/>
    <xf numFmtId="167" fontId="0" fillId="0" borderId="15" xfId="0" applyNumberFormat="1" applyBorder="1"/>
    <xf numFmtId="167" fontId="0" fillId="0" borderId="1" xfId="0" applyNumberFormat="1" applyBorder="1"/>
    <xf numFmtId="167" fontId="0" fillId="2" borderId="6" xfId="0" applyNumberFormat="1" applyFill="1" applyBorder="1"/>
    <xf numFmtId="167" fontId="0" fillId="0" borderId="6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166" fontId="1" fillId="2" borderId="0" xfId="0" applyNumberFormat="1" applyFont="1" applyFill="1"/>
    <xf numFmtId="168" fontId="1" fillId="0" borderId="0" xfId="0" applyNumberFormat="1" applyFont="1"/>
    <xf numFmtId="0" fontId="1" fillId="2" borderId="6" xfId="0" applyFont="1" applyFill="1" applyBorder="1"/>
    <xf numFmtId="164" fontId="2" fillId="0" borderId="0" xfId="0" applyNumberFormat="1" applyFont="1"/>
    <xf numFmtId="165" fontId="1" fillId="2" borderId="1" xfId="0" applyNumberFormat="1" applyFont="1" applyFill="1" applyBorder="1"/>
    <xf numFmtId="164" fontId="1" fillId="4" borderId="0" xfId="0" applyNumberFormat="1" applyFont="1" applyFill="1"/>
    <xf numFmtId="0" fontId="1" fillId="4" borderId="0" xfId="0" applyFont="1" applyFill="1"/>
    <xf numFmtId="0" fontId="1" fillId="5" borderId="2" xfId="0" applyFont="1" applyFill="1" applyBorder="1"/>
    <xf numFmtId="0" fontId="1" fillId="5" borderId="3" xfId="0" applyFont="1" applyFill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zoomScale="145" zoomScaleNormal="145" workbookViewId="0">
      <selection activeCell="C2" sqref="C2"/>
    </sheetView>
  </sheetViews>
  <sheetFormatPr defaultRowHeight="14.4" x14ac:dyDescent="0.3"/>
  <cols>
    <col min="3" max="3" width="17.44140625" bestFit="1" customWidth="1"/>
    <col min="4" max="4" width="10.5546875" customWidth="1"/>
    <col min="6" max="6" width="9.88671875" bestFit="1" customWidth="1"/>
    <col min="9" max="9" width="16.88671875" customWidth="1"/>
    <col min="10" max="10" width="17" bestFit="1" customWidth="1"/>
  </cols>
  <sheetData>
    <row r="1" spans="2:11" ht="15" thickBot="1" x14ac:dyDescent="0.35"/>
    <row r="2" spans="2:11" x14ac:dyDescent="0.3">
      <c r="B2" s="12" t="s">
        <v>9</v>
      </c>
      <c r="C2" s="13" t="s">
        <v>0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2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7">
        <v>24</v>
      </c>
    </row>
    <row r="4" spans="2:11" x14ac:dyDescent="0.3">
      <c r="B4" s="16"/>
      <c r="C4" s="4" t="s">
        <v>3</v>
      </c>
      <c r="D4" s="4">
        <v>0.1</v>
      </c>
      <c r="E4" s="4">
        <f>D4*720</f>
        <v>72</v>
      </c>
      <c r="F4" s="8">
        <f>E4*12</f>
        <v>864</v>
      </c>
      <c r="G4" s="11">
        <v>1</v>
      </c>
      <c r="H4" s="6">
        <f>F4*3</f>
        <v>2592</v>
      </c>
      <c r="J4" s="4" t="s">
        <v>8</v>
      </c>
      <c r="K4" s="17">
        <v>30</v>
      </c>
    </row>
    <row r="5" spans="2:11" x14ac:dyDescent="0.3">
      <c r="B5" s="16"/>
      <c r="C5" s="4" t="s">
        <v>3</v>
      </c>
      <c r="D5" s="4">
        <v>0.1</v>
      </c>
      <c r="E5" s="4">
        <f>D5*K5</f>
        <v>72</v>
      </c>
      <c r="F5" s="9">
        <f>E5*K6</f>
        <v>504</v>
      </c>
      <c r="G5" s="10">
        <f>F5/F4</f>
        <v>0.58333333333333337</v>
      </c>
      <c r="H5" s="6">
        <f>F5*3</f>
        <v>1512</v>
      </c>
      <c r="J5" s="4" t="s">
        <v>21</v>
      </c>
      <c r="K5" s="18">
        <f>K3*K4</f>
        <v>720</v>
      </c>
    </row>
    <row r="6" spans="2:11" x14ac:dyDescent="0.3">
      <c r="B6" s="19"/>
      <c r="F6" s="20"/>
      <c r="H6" s="21"/>
      <c r="J6" s="4" t="s">
        <v>20</v>
      </c>
      <c r="K6" s="17">
        <v>7</v>
      </c>
    </row>
    <row r="7" spans="2:11" x14ac:dyDescent="0.3">
      <c r="B7" s="19"/>
      <c r="F7" s="20"/>
      <c r="H7" s="21"/>
      <c r="J7" s="4" t="s">
        <v>19</v>
      </c>
      <c r="K7" s="18">
        <f>K5*K6</f>
        <v>5040</v>
      </c>
    </row>
    <row r="8" spans="2:11" x14ac:dyDescent="0.3">
      <c r="B8" s="16" t="s">
        <v>13</v>
      </c>
      <c r="C8" s="4" t="s">
        <v>5</v>
      </c>
      <c r="D8" s="4">
        <v>5.3999999999999999E-2</v>
      </c>
      <c r="E8" s="4"/>
      <c r="F8" s="7">
        <v>470</v>
      </c>
      <c r="G8" s="11">
        <v>1</v>
      </c>
      <c r="H8" s="6">
        <f>F8*3</f>
        <v>1410</v>
      </c>
      <c r="K8" s="22"/>
    </row>
    <row r="9" spans="2:11" x14ac:dyDescent="0.3">
      <c r="B9" s="16" t="s">
        <v>13</v>
      </c>
      <c r="C9" s="4" t="s">
        <v>6</v>
      </c>
      <c r="D9" s="4">
        <v>5.5E-2</v>
      </c>
      <c r="E9" s="4">
        <f>0.027*720</f>
        <v>19.440000000000001</v>
      </c>
      <c r="F9" s="8">
        <f>240+(E9*12)</f>
        <v>473.28000000000003</v>
      </c>
      <c r="G9" s="11">
        <v>1</v>
      </c>
      <c r="H9" s="6">
        <f>F9*3</f>
        <v>1419.8400000000001</v>
      </c>
      <c r="J9" s="3" t="s">
        <v>23</v>
      </c>
      <c r="K9" s="22"/>
    </row>
    <row r="10" spans="2:11" x14ac:dyDescent="0.3">
      <c r="B10" s="23" t="s">
        <v>13</v>
      </c>
      <c r="C10" s="5" t="s">
        <v>7</v>
      </c>
      <c r="D10" s="5">
        <v>5.8000000000000003E-2</v>
      </c>
      <c r="E10" s="5">
        <f>D10*720</f>
        <v>41.760000000000005</v>
      </c>
      <c r="F10" s="9">
        <f>0.058*720*12</f>
        <v>501.12000000000006</v>
      </c>
      <c r="G10" s="11">
        <v>1</v>
      </c>
      <c r="H10" s="6">
        <f>F10*3</f>
        <v>1503.3600000000001</v>
      </c>
      <c r="J10" s="5" t="s">
        <v>18</v>
      </c>
      <c r="K10" s="18">
        <f>720*12</f>
        <v>8640</v>
      </c>
    </row>
    <row r="11" spans="2:11" x14ac:dyDescent="0.3">
      <c r="B11" s="19"/>
      <c r="F11" s="24"/>
      <c r="H11" s="21"/>
      <c r="K11" s="22"/>
    </row>
    <row r="12" spans="2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917</v>
      </c>
      <c r="K12" s="22">
        <f>K10*0.4333</f>
        <v>3743.712</v>
      </c>
    </row>
    <row r="13" spans="2:11" x14ac:dyDescent="0.3">
      <c r="B13" s="16" t="s">
        <v>14</v>
      </c>
      <c r="C13" s="4" t="s">
        <v>6</v>
      </c>
      <c r="D13" s="4">
        <v>3.6999999999999998E-2</v>
      </c>
      <c r="E13" s="4"/>
      <c r="F13" s="5">
        <f>0.019*720*12</f>
        <v>164.16</v>
      </c>
      <c r="G13" s="11">
        <v>1</v>
      </c>
      <c r="H13" s="6">
        <f>488+ (F13*3)</f>
        <v>980.48</v>
      </c>
      <c r="K13" s="22"/>
    </row>
    <row r="14" spans="2:11" x14ac:dyDescent="0.3">
      <c r="B14" s="16" t="s">
        <v>14</v>
      </c>
      <c r="C14" s="4" t="s">
        <v>7</v>
      </c>
      <c r="D14" s="4">
        <v>0.04</v>
      </c>
      <c r="E14" s="4">
        <f>D14*720</f>
        <v>28.8</v>
      </c>
      <c r="F14" s="5">
        <f>E14*12</f>
        <v>345.6</v>
      </c>
      <c r="G14" s="11">
        <v>1</v>
      </c>
      <c r="H14" s="28">
        <f>F14*3</f>
        <v>1036.8000000000002</v>
      </c>
      <c r="K14" s="22"/>
    </row>
    <row r="15" spans="2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A0AD-AE42-47B3-9536-EE71D9A3D02A}">
  <dimension ref="A1:K41"/>
  <sheetViews>
    <sheetView tabSelected="1" zoomScale="160" zoomScaleNormal="160" workbookViewId="0">
      <selection activeCell="D10" sqref="D10"/>
    </sheetView>
  </sheetViews>
  <sheetFormatPr defaultRowHeight="14.4" x14ac:dyDescent="0.3"/>
  <cols>
    <col min="1" max="1" width="9.88671875" bestFit="1" customWidth="1"/>
    <col min="3" max="3" width="17.44140625" bestFit="1" customWidth="1"/>
    <col min="4" max="4" width="10.5546875" customWidth="1"/>
    <col min="6" max="6" width="12" bestFit="1" customWidth="1"/>
    <col min="7" max="7" width="9.88671875" bestFit="1" customWidth="1"/>
    <col min="9" max="9" width="16.88671875" customWidth="1"/>
    <col min="10" max="10" width="17" bestFit="1" customWidth="1"/>
    <col min="11" max="11" width="9" customWidth="1"/>
  </cols>
  <sheetData>
    <row r="1" spans="1:11" ht="15" thickBot="1" x14ac:dyDescent="0.35">
      <c r="D1" s="3"/>
      <c r="F1" s="44">
        <f>F4*0.65</f>
        <v>569.4</v>
      </c>
    </row>
    <row r="2" spans="1:11" x14ac:dyDescent="0.3">
      <c r="B2" s="12" t="s">
        <v>9</v>
      </c>
      <c r="C2" s="13" t="s">
        <v>24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1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8">
        <v>22</v>
      </c>
    </row>
    <row r="4" spans="1:11" x14ac:dyDescent="0.3">
      <c r="B4" s="16"/>
      <c r="C4" s="5" t="s">
        <v>3</v>
      </c>
      <c r="D4" s="4">
        <v>0.1</v>
      </c>
      <c r="E4" s="5">
        <f>D4*730</f>
        <v>73</v>
      </c>
      <c r="F4" s="8">
        <f>E4*12</f>
        <v>876</v>
      </c>
      <c r="G4" s="11">
        <v>1</v>
      </c>
      <c r="H4" s="6">
        <f>F4*3</f>
        <v>2628</v>
      </c>
      <c r="J4" s="4" t="s">
        <v>8</v>
      </c>
      <c r="K4" s="18">
        <v>30</v>
      </c>
    </row>
    <row r="5" spans="1:11" x14ac:dyDescent="0.3">
      <c r="A5" s="44">
        <f>2*F5</f>
        <v>1056</v>
      </c>
      <c r="B5" s="16"/>
      <c r="C5" s="5" t="s">
        <v>3</v>
      </c>
      <c r="D5" s="5">
        <v>0.1</v>
      </c>
      <c r="E5" s="5">
        <f>D5*K5</f>
        <v>66</v>
      </c>
      <c r="F5" s="9">
        <f>E5*K6</f>
        <v>528</v>
      </c>
      <c r="G5" s="10">
        <f>K7/K10</f>
        <v>0.60273972602739723</v>
      </c>
      <c r="H5" s="6">
        <f>F5*3</f>
        <v>1584</v>
      </c>
      <c r="J5" s="4" t="s">
        <v>21</v>
      </c>
      <c r="K5" s="18">
        <f>K3*K4</f>
        <v>660</v>
      </c>
    </row>
    <row r="6" spans="1:11" x14ac:dyDescent="0.3">
      <c r="B6" s="19"/>
      <c r="F6" s="46">
        <f>F5*2</f>
        <v>1056</v>
      </c>
      <c r="H6" s="21"/>
      <c r="J6" s="4" t="s">
        <v>20</v>
      </c>
      <c r="K6" s="17">
        <v>8</v>
      </c>
    </row>
    <row r="7" spans="1:11" x14ac:dyDescent="0.3">
      <c r="B7" s="19"/>
      <c r="F7" s="20"/>
      <c r="H7" s="21"/>
      <c r="J7" s="4" t="s">
        <v>19</v>
      </c>
      <c r="K7" s="45">
        <f>K5*K6</f>
        <v>5280</v>
      </c>
    </row>
    <row r="8" spans="1:11" x14ac:dyDescent="0.3">
      <c r="B8" s="23" t="s">
        <v>13</v>
      </c>
      <c r="C8" s="4" t="s">
        <v>5</v>
      </c>
      <c r="D8" s="4">
        <v>5.8999999999999997E-2</v>
      </c>
      <c r="E8" s="4"/>
      <c r="F8" s="7">
        <v>515</v>
      </c>
      <c r="G8" s="11">
        <v>1</v>
      </c>
      <c r="H8" s="6">
        <f>F8*3</f>
        <v>1545</v>
      </c>
      <c r="K8" s="22"/>
    </row>
    <row r="9" spans="1:11" x14ac:dyDescent="0.3">
      <c r="B9" s="23" t="s">
        <v>13</v>
      </c>
      <c r="C9" s="4" t="s">
        <v>6</v>
      </c>
      <c r="D9" s="4">
        <v>0.03</v>
      </c>
      <c r="E9" s="4">
        <f>0.03*720</f>
        <v>21.599999999999998</v>
      </c>
      <c r="F9" s="8">
        <f>263+(E9*12)</f>
        <v>522.20000000000005</v>
      </c>
      <c r="G9" s="11">
        <v>1</v>
      </c>
      <c r="H9" s="6">
        <f>F9*3</f>
        <v>1566.6000000000001</v>
      </c>
      <c r="J9" s="3" t="s">
        <v>23</v>
      </c>
      <c r="K9" s="22">
        <f>K10*0.65</f>
        <v>5694</v>
      </c>
    </row>
    <row r="10" spans="1:11" x14ac:dyDescent="0.3">
      <c r="B10" s="23" t="s">
        <v>13</v>
      </c>
      <c r="C10" s="5" t="s">
        <v>7</v>
      </c>
      <c r="D10" s="5">
        <v>6.3E-2</v>
      </c>
      <c r="E10" s="5">
        <f>D10*730</f>
        <v>45.99</v>
      </c>
      <c r="F10" s="9">
        <f>D10*730*12</f>
        <v>551.88</v>
      </c>
      <c r="G10" s="11">
        <v>1</v>
      </c>
      <c r="H10" s="6">
        <f>F10*3</f>
        <v>1655.6399999999999</v>
      </c>
      <c r="J10" s="5" t="s">
        <v>18</v>
      </c>
      <c r="K10" s="18">
        <f>365*24</f>
        <v>8760</v>
      </c>
    </row>
    <row r="11" spans="1:11" x14ac:dyDescent="0.3">
      <c r="B11" s="19"/>
      <c r="F11" s="24">
        <f>F10*2</f>
        <v>1103.76</v>
      </c>
      <c r="H11" s="21"/>
      <c r="K11" s="22"/>
    </row>
    <row r="12" spans="1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1013</v>
      </c>
      <c r="K12" s="22">
        <f>K10*0.4333</f>
        <v>3795.7080000000001</v>
      </c>
    </row>
    <row r="13" spans="1:11" x14ac:dyDescent="0.3">
      <c r="B13" s="16" t="s">
        <v>14</v>
      </c>
      <c r="C13" s="4" t="s">
        <v>6</v>
      </c>
      <c r="D13" s="4">
        <v>2.1000000000000001E-2</v>
      </c>
      <c r="E13" s="4"/>
      <c r="F13" s="5">
        <f>0.019*720*12</f>
        <v>164.16</v>
      </c>
      <c r="G13" s="11">
        <v>1</v>
      </c>
      <c r="H13" s="6">
        <f>539+ (F13*3)</f>
        <v>1031.48</v>
      </c>
      <c r="K13" s="22"/>
    </row>
    <row r="14" spans="1:11" x14ac:dyDescent="0.3">
      <c r="B14" s="23" t="s">
        <v>14</v>
      </c>
      <c r="C14" s="5" t="s">
        <v>7</v>
      </c>
      <c r="D14" s="5">
        <v>4.3999999999999997E-2</v>
      </c>
      <c r="E14" s="5">
        <f>D14*720</f>
        <v>31.68</v>
      </c>
      <c r="F14" s="28">
        <f>E14*12</f>
        <v>380.15999999999997</v>
      </c>
      <c r="G14" s="11">
        <v>1</v>
      </c>
      <c r="H14" s="28">
        <f>F14*3</f>
        <v>1140.48</v>
      </c>
      <c r="K14" s="22"/>
    </row>
    <row r="15" spans="1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6" spans="1:11" x14ac:dyDescent="0.3">
      <c r="F16">
        <f>(1-F14/F4)*100</f>
        <v>56.602739726027409</v>
      </c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  <row r="30" spans="2:11" ht="15" thickBot="1" x14ac:dyDescent="0.35"/>
    <row r="31" spans="2:11" x14ac:dyDescent="0.3">
      <c r="B31" s="12" t="s">
        <v>9</v>
      </c>
      <c r="C31" s="13" t="s">
        <v>24</v>
      </c>
      <c r="D31" s="14"/>
      <c r="E31" s="14"/>
      <c r="F31" s="14"/>
      <c r="G31" s="14"/>
      <c r="H31" s="14"/>
      <c r="I31" s="14"/>
      <c r="J31" s="13" t="s">
        <v>22</v>
      </c>
      <c r="K31" s="15"/>
    </row>
    <row r="32" spans="2:11" x14ac:dyDescent="0.3">
      <c r="B32" s="16"/>
      <c r="C32" s="4"/>
      <c r="D32" s="5" t="s">
        <v>12</v>
      </c>
      <c r="E32" s="5" t="s">
        <v>1</v>
      </c>
      <c r="F32" s="5" t="s">
        <v>2</v>
      </c>
      <c r="G32" s="5" t="s">
        <v>17</v>
      </c>
      <c r="H32" s="5" t="s">
        <v>15</v>
      </c>
      <c r="J32" s="4" t="s">
        <v>11</v>
      </c>
      <c r="K32" s="17">
        <v>9</v>
      </c>
    </row>
    <row r="33" spans="2:11" x14ac:dyDescent="0.3">
      <c r="B33" s="16"/>
      <c r="C33" s="4" t="s">
        <v>3</v>
      </c>
      <c r="D33" s="4">
        <v>0.1</v>
      </c>
      <c r="E33" s="4">
        <f>D33*720</f>
        <v>72</v>
      </c>
      <c r="F33" s="8">
        <f>E33*12</f>
        <v>864</v>
      </c>
      <c r="G33" s="11">
        <v>1</v>
      </c>
      <c r="H33" s="6">
        <f>F33*3</f>
        <v>2592</v>
      </c>
      <c r="J33" s="4" t="s">
        <v>8</v>
      </c>
      <c r="K33" s="17">
        <v>22</v>
      </c>
    </row>
    <row r="34" spans="2:11" x14ac:dyDescent="0.3">
      <c r="B34" s="16"/>
      <c r="C34" s="5" t="s">
        <v>3</v>
      </c>
      <c r="D34" s="5">
        <v>0.1</v>
      </c>
      <c r="E34" s="5">
        <f>D34*K34</f>
        <v>19.8</v>
      </c>
      <c r="F34" s="9">
        <f>E34*K35</f>
        <v>237.60000000000002</v>
      </c>
      <c r="G34" s="10">
        <f>F34/F33</f>
        <v>0.27500000000000002</v>
      </c>
      <c r="H34" s="6">
        <f>F34*3</f>
        <v>712.80000000000007</v>
      </c>
      <c r="J34" s="4" t="s">
        <v>21</v>
      </c>
      <c r="K34" s="18">
        <f>K32*K33</f>
        <v>198</v>
      </c>
    </row>
    <row r="35" spans="2:11" x14ac:dyDescent="0.3">
      <c r="B35" s="19"/>
      <c r="F35" s="24">
        <f>F34*0.94</f>
        <v>223.34400000000002</v>
      </c>
      <c r="H35" s="21"/>
      <c r="J35" s="4" t="s">
        <v>20</v>
      </c>
      <c r="K35" s="17">
        <v>12</v>
      </c>
    </row>
    <row r="36" spans="2:11" x14ac:dyDescent="0.3">
      <c r="B36" s="19"/>
      <c r="F36" s="20"/>
      <c r="H36" s="21"/>
      <c r="J36" s="4" t="s">
        <v>19</v>
      </c>
      <c r="K36" s="18">
        <f>K34*K35</f>
        <v>2376</v>
      </c>
    </row>
    <row r="40" spans="2:11" x14ac:dyDescent="0.3">
      <c r="C40" s="3" t="s">
        <v>40</v>
      </c>
    </row>
    <row r="41" spans="2:11" x14ac:dyDescent="0.3">
      <c r="C41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ACF8-1309-4329-8E49-2AC3215AF5C4}">
  <dimension ref="B1:K25"/>
  <sheetViews>
    <sheetView zoomScale="130" zoomScaleNormal="130" workbookViewId="0">
      <selection activeCell="C2" sqref="C2"/>
    </sheetView>
  </sheetViews>
  <sheetFormatPr defaultRowHeight="14.4" x14ac:dyDescent="0.3"/>
  <cols>
    <col min="3" max="3" width="17.44140625" bestFit="1" customWidth="1"/>
    <col min="4" max="4" width="10.5546875" customWidth="1"/>
    <col min="6" max="6" width="9.88671875" bestFit="1" customWidth="1"/>
    <col min="9" max="9" width="16.88671875" customWidth="1"/>
    <col min="10" max="10" width="17" bestFit="1" customWidth="1"/>
  </cols>
  <sheetData>
    <row r="1" spans="2:11" ht="15" thickBot="1" x14ac:dyDescent="0.35"/>
    <row r="2" spans="2:11" x14ac:dyDescent="0.3">
      <c r="B2" s="12" t="s">
        <v>9</v>
      </c>
      <c r="C2" s="13" t="s">
        <v>39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2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7">
        <v>24</v>
      </c>
    </row>
    <row r="4" spans="2:11" x14ac:dyDescent="0.3">
      <c r="B4" s="16"/>
      <c r="C4" s="4" t="s">
        <v>3</v>
      </c>
      <c r="D4" s="4">
        <v>0.192</v>
      </c>
      <c r="E4" s="4">
        <f>D4*720</f>
        <v>138.24</v>
      </c>
      <c r="F4" s="8">
        <f>E4*12</f>
        <v>1658.88</v>
      </c>
      <c r="G4" s="11">
        <v>1</v>
      </c>
      <c r="H4" s="6">
        <f>F4*3</f>
        <v>4976.6400000000003</v>
      </c>
      <c r="J4" s="4" t="s">
        <v>8</v>
      </c>
      <c r="K4" s="17">
        <v>20</v>
      </c>
    </row>
    <row r="5" spans="2:11" x14ac:dyDescent="0.3">
      <c r="B5" s="16"/>
      <c r="C5" s="4" t="s">
        <v>3</v>
      </c>
      <c r="D5" s="4">
        <v>0.192</v>
      </c>
      <c r="E5" s="4">
        <f>D5*K5</f>
        <v>92.16</v>
      </c>
      <c r="F5" s="9">
        <f>E5*K6</f>
        <v>1105.92</v>
      </c>
      <c r="G5" s="10">
        <f>F5/F4</f>
        <v>0.66666666666666663</v>
      </c>
      <c r="H5" s="6">
        <f>F5*3</f>
        <v>3317.76</v>
      </c>
      <c r="J5" s="4" t="s">
        <v>21</v>
      </c>
      <c r="K5" s="18">
        <f>K3*K4</f>
        <v>480</v>
      </c>
    </row>
    <row r="6" spans="2:11" x14ac:dyDescent="0.3">
      <c r="B6" s="19"/>
      <c r="F6" s="20"/>
      <c r="H6" s="21"/>
      <c r="J6" s="4" t="s">
        <v>20</v>
      </c>
      <c r="K6" s="17">
        <v>12</v>
      </c>
    </row>
    <row r="7" spans="2:11" x14ac:dyDescent="0.3">
      <c r="B7" s="19"/>
      <c r="F7" s="20"/>
      <c r="H7" s="21"/>
      <c r="J7" s="4" t="s">
        <v>19</v>
      </c>
      <c r="K7" s="18">
        <f>K5*K6</f>
        <v>5760</v>
      </c>
    </row>
    <row r="8" spans="2:11" x14ac:dyDescent="0.3">
      <c r="B8" s="16" t="s">
        <v>13</v>
      </c>
      <c r="C8" s="4" t="s">
        <v>5</v>
      </c>
      <c r="D8" s="4">
        <v>5.3999999999999999E-2</v>
      </c>
      <c r="E8" s="4"/>
      <c r="F8" s="7">
        <v>470</v>
      </c>
      <c r="G8" s="11">
        <v>1</v>
      </c>
      <c r="H8" s="6">
        <f>F8*3</f>
        <v>1410</v>
      </c>
      <c r="K8" s="22"/>
    </row>
    <row r="9" spans="2:11" x14ac:dyDescent="0.3">
      <c r="B9" s="16" t="s">
        <v>13</v>
      </c>
      <c r="C9" s="4" t="s">
        <v>6</v>
      </c>
      <c r="D9" s="4">
        <v>5.5E-2</v>
      </c>
      <c r="E9" s="4">
        <f>0.027*720</f>
        <v>19.440000000000001</v>
      </c>
      <c r="F9" s="8">
        <f>240+(E9*12)</f>
        <v>473.28000000000003</v>
      </c>
      <c r="G9" s="11">
        <v>1</v>
      </c>
      <c r="H9" s="6">
        <f>F9*3</f>
        <v>1419.8400000000001</v>
      </c>
      <c r="J9" s="3" t="s">
        <v>23</v>
      </c>
      <c r="K9" s="22"/>
    </row>
    <row r="10" spans="2:11" x14ac:dyDescent="0.3">
      <c r="B10" s="23" t="s">
        <v>13</v>
      </c>
      <c r="C10" s="5" t="s">
        <v>7</v>
      </c>
      <c r="D10" s="5">
        <v>0.123</v>
      </c>
      <c r="E10" s="5">
        <f>D10*720</f>
        <v>88.56</v>
      </c>
      <c r="F10" s="9">
        <f>D10*720*12</f>
        <v>1062.72</v>
      </c>
      <c r="G10" s="11">
        <v>1</v>
      </c>
      <c r="H10" s="6">
        <f>F10*3</f>
        <v>3188.16</v>
      </c>
      <c r="J10" s="5" t="s">
        <v>18</v>
      </c>
      <c r="K10" s="18">
        <f>720*12</f>
        <v>8640</v>
      </c>
    </row>
    <row r="11" spans="2:11" x14ac:dyDescent="0.3">
      <c r="B11" s="19"/>
      <c r="F11" s="24"/>
      <c r="H11" s="21"/>
      <c r="K11" s="22"/>
    </row>
    <row r="12" spans="2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917</v>
      </c>
      <c r="K12" s="22">
        <f>K10*0.4333</f>
        <v>3743.712</v>
      </c>
    </row>
    <row r="13" spans="2:11" x14ac:dyDescent="0.3">
      <c r="B13" s="16" t="s">
        <v>14</v>
      </c>
      <c r="C13" s="4" t="s">
        <v>6</v>
      </c>
      <c r="D13" s="4">
        <v>3.6999999999999998E-2</v>
      </c>
      <c r="E13" s="4"/>
      <c r="F13" s="5">
        <f>0.019*720*12</f>
        <v>164.16</v>
      </c>
      <c r="G13" s="11">
        <v>1</v>
      </c>
      <c r="H13" s="6">
        <f>488+ (F13*3)</f>
        <v>980.48</v>
      </c>
      <c r="K13" s="22"/>
    </row>
    <row r="14" spans="2:11" x14ac:dyDescent="0.3">
      <c r="B14" s="23" t="s">
        <v>14</v>
      </c>
      <c r="C14" s="5" t="s">
        <v>7</v>
      </c>
      <c r="D14" s="5">
        <v>8.5000000000000006E-2</v>
      </c>
      <c r="E14" s="5">
        <f>D14*720</f>
        <v>61.2</v>
      </c>
      <c r="F14" s="5">
        <f>E14*12</f>
        <v>734.40000000000009</v>
      </c>
      <c r="G14" s="11">
        <v>1</v>
      </c>
      <c r="H14" s="28">
        <f>F14*3</f>
        <v>2203.2000000000003</v>
      </c>
      <c r="K14" s="22"/>
    </row>
    <row r="15" spans="2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8B4-2FD1-4DFE-84EC-8AD554DB3152}">
  <dimension ref="G4:S16"/>
  <sheetViews>
    <sheetView topLeftCell="H4" zoomScale="130" zoomScaleNormal="130" workbookViewId="0">
      <selection activeCell="K13" sqref="K13:L13"/>
    </sheetView>
  </sheetViews>
  <sheetFormatPr defaultRowHeight="14.4" x14ac:dyDescent="0.3"/>
  <cols>
    <col min="8" max="8" width="10.109375" customWidth="1"/>
    <col min="9" max="9" width="12" bestFit="1" customWidth="1"/>
    <col min="10" max="10" width="12" customWidth="1"/>
    <col min="11" max="12" width="12" bestFit="1" customWidth="1"/>
    <col min="14" max="14" width="12" bestFit="1" customWidth="1"/>
    <col min="15" max="15" width="9.88671875" bestFit="1" customWidth="1"/>
    <col min="17" max="17" width="12" bestFit="1" customWidth="1"/>
  </cols>
  <sheetData>
    <row r="4" spans="7:19" ht="15" thickBot="1" x14ac:dyDescent="0.35"/>
    <row r="5" spans="7:19" ht="15" thickBot="1" x14ac:dyDescent="0.35">
      <c r="I5" s="52" t="s">
        <v>37</v>
      </c>
      <c r="J5" s="53"/>
      <c r="K5" s="53"/>
      <c r="L5" s="54"/>
      <c r="N5" s="3" t="s">
        <v>31</v>
      </c>
    </row>
    <row r="6" spans="7:19" s="29" customFormat="1" ht="28.8" x14ac:dyDescent="0.3">
      <c r="H6" s="30" t="s">
        <v>34</v>
      </c>
      <c r="I6" s="32" t="s">
        <v>33</v>
      </c>
      <c r="J6" s="33" t="s">
        <v>32</v>
      </c>
      <c r="K6" s="33" t="s">
        <v>35</v>
      </c>
      <c r="L6" s="34" t="s">
        <v>36</v>
      </c>
      <c r="N6" s="30" t="s">
        <v>26</v>
      </c>
      <c r="O6" s="30" t="s">
        <v>27</v>
      </c>
      <c r="Q6" s="30" t="s">
        <v>28</v>
      </c>
      <c r="S6" s="30" t="s">
        <v>29</v>
      </c>
    </row>
    <row r="7" spans="7:19" x14ac:dyDescent="0.3">
      <c r="G7" t="s">
        <v>25</v>
      </c>
      <c r="H7">
        <v>3</v>
      </c>
      <c r="I7" s="36">
        <f>153.333/24</f>
        <v>6.3888749999999996</v>
      </c>
      <c r="J7" s="38">
        <f>I7*3*24</f>
        <v>459.99900000000002</v>
      </c>
      <c r="K7" s="38">
        <f>J7*365</f>
        <v>167899.63500000001</v>
      </c>
      <c r="L7" s="39">
        <f>K7*3</f>
        <v>503698.90500000003</v>
      </c>
      <c r="M7" s="35"/>
      <c r="N7" s="35">
        <v>153510</v>
      </c>
      <c r="O7" s="35">
        <v>9732</v>
      </c>
      <c r="P7" s="35"/>
      <c r="Q7" s="35">
        <v>133085</v>
      </c>
      <c r="S7">
        <v>69</v>
      </c>
    </row>
    <row r="8" spans="7:19" x14ac:dyDescent="0.3">
      <c r="I8" s="36"/>
      <c r="J8" s="38"/>
      <c r="K8" s="38"/>
      <c r="L8" s="40"/>
      <c r="M8" s="35"/>
      <c r="N8" s="35"/>
      <c r="O8" s="35"/>
      <c r="P8" s="35"/>
      <c r="Q8" s="35"/>
    </row>
    <row r="9" spans="7:19" x14ac:dyDescent="0.3">
      <c r="I9" s="36"/>
      <c r="J9" s="38"/>
      <c r="K9" s="38"/>
      <c r="L9" s="40"/>
      <c r="M9" s="35"/>
      <c r="N9" s="35"/>
      <c r="O9" s="35"/>
      <c r="P9" s="35"/>
      <c r="Q9" s="35"/>
    </row>
    <row r="10" spans="7:19" x14ac:dyDescent="0.3">
      <c r="G10" t="s">
        <v>30</v>
      </c>
      <c r="H10">
        <v>9</v>
      </c>
      <c r="I10" s="36">
        <v>0.33</v>
      </c>
      <c r="J10" s="38">
        <f>I10*24*9</f>
        <v>71.28</v>
      </c>
      <c r="K10" s="38">
        <f>J10*365</f>
        <v>26017.200000000001</v>
      </c>
      <c r="L10" s="39">
        <f>K10*3</f>
        <v>78051.600000000006</v>
      </c>
      <c r="M10" s="35"/>
      <c r="N10" s="35">
        <v>28800</v>
      </c>
      <c r="O10" s="35">
        <v>1358</v>
      </c>
      <c r="P10" s="35"/>
      <c r="Q10" s="35"/>
    </row>
    <row r="11" spans="7:19" ht="15" thickBot="1" x14ac:dyDescent="0.35">
      <c r="I11" s="37"/>
      <c r="J11" s="41"/>
      <c r="K11" s="41"/>
      <c r="L11" s="42"/>
      <c r="M11" s="35"/>
      <c r="N11" s="35"/>
      <c r="O11" s="35"/>
      <c r="P11" s="35"/>
      <c r="Q11" s="35"/>
    </row>
    <row r="12" spans="7:19" x14ac:dyDescent="0.3">
      <c r="I12" s="31"/>
      <c r="J12" s="31"/>
      <c r="K12" s="31"/>
      <c r="L12" s="31"/>
      <c r="M12" s="31"/>
      <c r="N12" s="31"/>
      <c r="O12" s="31"/>
      <c r="P12" s="31"/>
      <c r="Q12" s="31"/>
    </row>
    <row r="13" spans="7:19" x14ac:dyDescent="0.3">
      <c r="I13" s="31"/>
      <c r="J13" s="31"/>
      <c r="K13" s="43" t="s">
        <v>38</v>
      </c>
      <c r="L13" s="43">
        <f>SUM(L7:L11)</f>
        <v>581750.505</v>
      </c>
      <c r="M13" s="31"/>
      <c r="N13" s="31"/>
      <c r="O13" s="31"/>
      <c r="P13" s="31"/>
      <c r="Q13" s="31"/>
    </row>
    <row r="14" spans="7:19" x14ac:dyDescent="0.3">
      <c r="I14" s="35">
        <v>71.28</v>
      </c>
      <c r="J14" s="31">
        <f>460/3</f>
        <v>153.33333333333334</v>
      </c>
      <c r="K14" s="31"/>
      <c r="L14" s="31"/>
      <c r="M14" s="31"/>
      <c r="N14" s="31"/>
      <c r="O14" s="31"/>
      <c r="P14" s="31"/>
      <c r="Q14" s="31"/>
    </row>
    <row r="15" spans="7:19" x14ac:dyDescent="0.3">
      <c r="I15" s="35">
        <f>I14/9</f>
        <v>7.92</v>
      </c>
      <c r="J15" s="35">
        <f>J14/24</f>
        <v>6.3888888888888893</v>
      </c>
      <c r="K15" s="31"/>
      <c r="L15" s="31"/>
      <c r="M15" s="31"/>
      <c r="N15" s="31"/>
      <c r="O15" s="31"/>
      <c r="P15" s="31"/>
      <c r="Q15" s="31"/>
    </row>
    <row r="16" spans="7:19" x14ac:dyDescent="0.3">
      <c r="I16" s="35">
        <f>I15/24</f>
        <v>0.33</v>
      </c>
      <c r="J16" s="31"/>
      <c r="K16" s="31"/>
      <c r="L16" s="31"/>
      <c r="M16" s="31"/>
      <c r="N16" s="31"/>
      <c r="O16" s="31"/>
      <c r="P16" s="31"/>
      <c r="Q16" s="31"/>
    </row>
  </sheetData>
  <mergeCells count="1">
    <mergeCell ref="I5:L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49AA-ED53-40C0-908B-135A55C430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2B3A-BFD3-4E0D-8C4D-FF8171E7C2C5}">
  <dimension ref="A1:K53"/>
  <sheetViews>
    <sheetView topLeftCell="B40" zoomScale="160" zoomScaleNormal="160" workbookViewId="0">
      <selection activeCell="I50" sqref="I50"/>
    </sheetView>
  </sheetViews>
  <sheetFormatPr defaultRowHeight="14.4" x14ac:dyDescent="0.3"/>
  <cols>
    <col min="1" max="1" width="9.88671875" bestFit="1" customWidth="1"/>
    <col min="3" max="3" width="17.44140625" bestFit="1" customWidth="1"/>
    <col min="4" max="4" width="10.5546875" customWidth="1"/>
    <col min="6" max="6" width="12" bestFit="1" customWidth="1"/>
    <col min="7" max="7" width="9.88671875" bestFit="1" customWidth="1"/>
    <col min="9" max="9" width="16.88671875" customWidth="1"/>
    <col min="10" max="10" width="17" bestFit="1" customWidth="1"/>
    <col min="11" max="11" width="9" customWidth="1"/>
  </cols>
  <sheetData>
    <row r="1" spans="1:11" ht="15" thickBot="1" x14ac:dyDescent="0.35">
      <c r="D1" s="3"/>
      <c r="F1" s="44">
        <f>F4*0.65</f>
        <v>561.6</v>
      </c>
    </row>
    <row r="2" spans="1:11" x14ac:dyDescent="0.3">
      <c r="B2" s="50" t="s">
        <v>9</v>
      </c>
      <c r="C2" s="51" t="s">
        <v>24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1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8">
        <v>24</v>
      </c>
    </row>
    <row r="4" spans="1:11" x14ac:dyDescent="0.3">
      <c r="B4" s="16"/>
      <c r="C4" s="5" t="s">
        <v>3</v>
      </c>
      <c r="D4" s="4">
        <v>0.1</v>
      </c>
      <c r="E4" s="5">
        <f>D4*720</f>
        <v>72</v>
      </c>
      <c r="F4" s="8">
        <f>E4*12</f>
        <v>864</v>
      </c>
      <c r="G4" s="11">
        <v>1</v>
      </c>
      <c r="H4" s="6">
        <f>F4*3</f>
        <v>2592</v>
      </c>
      <c r="J4" s="4" t="s">
        <v>8</v>
      </c>
      <c r="K4" s="18">
        <v>28</v>
      </c>
    </row>
    <row r="5" spans="1:11" x14ac:dyDescent="0.3">
      <c r="A5" s="44">
        <f>2*F5</f>
        <v>1075.2</v>
      </c>
      <c r="B5" s="16"/>
      <c r="C5" s="5" t="s">
        <v>3</v>
      </c>
      <c r="D5" s="5">
        <v>0.1</v>
      </c>
      <c r="E5" s="5">
        <f>D5*K5</f>
        <v>67.2</v>
      </c>
      <c r="F5" s="9">
        <f>E5*K6</f>
        <v>537.6</v>
      </c>
      <c r="G5" s="10">
        <f>K7/K10</f>
        <v>0.61369863013698633</v>
      </c>
      <c r="H5" s="6">
        <f>F5*3</f>
        <v>1612.8000000000002</v>
      </c>
      <c r="J5" s="4" t="s">
        <v>21</v>
      </c>
      <c r="K5" s="18">
        <f>K4*K3</f>
        <v>672</v>
      </c>
    </row>
    <row r="6" spans="1:11" x14ac:dyDescent="0.3">
      <c r="B6" s="19"/>
      <c r="F6" s="46">
        <f>F5*2</f>
        <v>1075.2</v>
      </c>
      <c r="H6" s="21"/>
      <c r="J6" s="4" t="s">
        <v>20</v>
      </c>
      <c r="K6" s="17">
        <v>8</v>
      </c>
    </row>
    <row r="7" spans="1:11" x14ac:dyDescent="0.3">
      <c r="B7" s="19"/>
      <c r="F7" s="20"/>
      <c r="H7" s="21"/>
      <c r="J7" s="4" t="s">
        <v>19</v>
      </c>
      <c r="K7" s="45">
        <f>K5*K6</f>
        <v>5376</v>
      </c>
    </row>
    <row r="8" spans="1:11" x14ac:dyDescent="0.3">
      <c r="B8" s="23" t="s">
        <v>13</v>
      </c>
      <c r="C8" s="4" t="s">
        <v>5</v>
      </c>
      <c r="D8" s="4">
        <v>5.8999999999999997E-2</v>
      </c>
      <c r="E8" s="4">
        <v>0</v>
      </c>
      <c r="F8" s="7">
        <v>515</v>
      </c>
      <c r="G8" s="11">
        <v>1</v>
      </c>
      <c r="H8" s="6">
        <f>F8*3</f>
        <v>1545</v>
      </c>
      <c r="K8" s="22"/>
    </row>
    <row r="9" spans="1:11" x14ac:dyDescent="0.3">
      <c r="B9" s="23" t="s">
        <v>13</v>
      </c>
      <c r="C9" s="4" t="s">
        <v>6</v>
      </c>
      <c r="D9" s="4">
        <v>0.03</v>
      </c>
      <c r="E9" s="4">
        <f>D9*720</f>
        <v>21.599999999999998</v>
      </c>
      <c r="F9" s="8">
        <f>263+E9*12</f>
        <v>522.20000000000005</v>
      </c>
      <c r="G9" s="11">
        <v>1</v>
      </c>
      <c r="H9" s="6">
        <f>F9*3</f>
        <v>1566.6000000000001</v>
      </c>
      <c r="J9" s="3" t="s">
        <v>23</v>
      </c>
      <c r="K9" s="22"/>
    </row>
    <row r="10" spans="1:11" x14ac:dyDescent="0.3">
      <c r="B10" s="23" t="s">
        <v>13</v>
      </c>
      <c r="C10" s="5" t="s">
        <v>7</v>
      </c>
      <c r="D10" s="5">
        <v>6.3E-2</v>
      </c>
      <c r="E10" s="4">
        <f>D10*720</f>
        <v>45.36</v>
      </c>
      <c r="F10" s="9">
        <f>E10*12</f>
        <v>544.31999999999994</v>
      </c>
      <c r="G10" s="11">
        <v>1</v>
      </c>
      <c r="H10" s="6">
        <f>F10*3</f>
        <v>1632.9599999999998</v>
      </c>
      <c r="J10" s="5" t="s">
        <v>18</v>
      </c>
      <c r="K10" s="18">
        <f>365*24</f>
        <v>8760</v>
      </c>
    </row>
    <row r="11" spans="1:11" x14ac:dyDescent="0.3">
      <c r="B11" s="19"/>
      <c r="E11" s="49" t="s">
        <v>42</v>
      </c>
      <c r="F11" s="48">
        <f>F10*2</f>
        <v>1088.6399999999999</v>
      </c>
      <c r="H11" s="21"/>
      <c r="K11" s="22"/>
    </row>
    <row r="12" spans="1:11" x14ac:dyDescent="0.3">
      <c r="B12" s="16" t="s">
        <v>14</v>
      </c>
      <c r="C12" s="4" t="s">
        <v>5</v>
      </c>
      <c r="D12" s="4">
        <v>3.5000000000000003E-2</v>
      </c>
      <c r="E12" s="4"/>
      <c r="F12" s="5">
        <f>D12*8750</f>
        <v>306.25000000000006</v>
      </c>
      <c r="G12" s="11"/>
      <c r="H12" s="7">
        <v>1013</v>
      </c>
      <c r="K12" s="22"/>
    </row>
    <row r="13" spans="1:11" x14ac:dyDescent="0.3">
      <c r="B13" s="16" t="s">
        <v>14</v>
      </c>
      <c r="C13" s="4" t="s">
        <v>6</v>
      </c>
      <c r="D13" s="4">
        <v>2.1000000000000001E-2</v>
      </c>
      <c r="E13" s="4"/>
      <c r="F13" s="5">
        <f>D13*8750</f>
        <v>183.75</v>
      </c>
      <c r="G13" s="11"/>
      <c r="H13" s="6"/>
      <c r="K13" s="22"/>
    </row>
    <row r="14" spans="1:11" x14ac:dyDescent="0.3">
      <c r="B14" s="23" t="s">
        <v>14</v>
      </c>
      <c r="C14" s="5" t="s">
        <v>7</v>
      </c>
      <c r="D14" s="5">
        <v>4.3999999999999997E-2</v>
      </c>
      <c r="E14" s="4">
        <f>D14*750</f>
        <v>33</v>
      </c>
      <c r="F14" s="9">
        <f>E14*12</f>
        <v>396</v>
      </c>
      <c r="G14" s="11">
        <v>1</v>
      </c>
      <c r="H14" s="47">
        <f>F14*3</f>
        <v>1188</v>
      </c>
      <c r="K14" s="22"/>
    </row>
    <row r="15" spans="1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6" spans="1:11" x14ac:dyDescent="0.3">
      <c r="F16">
        <f>(1-F14/F4)*100</f>
        <v>54.166666666666671</v>
      </c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  <row r="30" spans="2:11" ht="15" thickBot="1" x14ac:dyDescent="0.35"/>
    <row r="31" spans="2:11" x14ac:dyDescent="0.3">
      <c r="B31" s="12" t="s">
        <v>9</v>
      </c>
      <c r="C31" s="13" t="s">
        <v>24</v>
      </c>
      <c r="D31" s="14"/>
      <c r="E31" s="14"/>
      <c r="F31" s="14"/>
      <c r="G31" s="14"/>
      <c r="H31" s="14"/>
      <c r="I31" s="14"/>
      <c r="J31" s="13" t="s">
        <v>22</v>
      </c>
      <c r="K31" s="15"/>
    </row>
    <row r="32" spans="2:11" x14ac:dyDescent="0.3">
      <c r="B32" s="16"/>
      <c r="C32" s="4"/>
      <c r="D32" s="5" t="s">
        <v>12</v>
      </c>
      <c r="E32" s="5" t="s">
        <v>1</v>
      </c>
      <c r="F32" s="5" t="s">
        <v>2</v>
      </c>
      <c r="G32" s="5" t="s">
        <v>17</v>
      </c>
      <c r="H32" s="5" t="s">
        <v>15</v>
      </c>
      <c r="J32" s="4" t="s">
        <v>11</v>
      </c>
      <c r="K32" s="17">
        <v>9</v>
      </c>
    </row>
    <row r="33" spans="2:11" x14ac:dyDescent="0.3">
      <c r="B33" s="16"/>
      <c r="C33" s="4" t="s">
        <v>3</v>
      </c>
      <c r="D33" s="4">
        <v>0.1</v>
      </c>
      <c r="E33" s="4">
        <f>D33*720</f>
        <v>72</v>
      </c>
      <c r="F33" s="8">
        <f>E33*12</f>
        <v>864</v>
      </c>
      <c r="G33" s="11">
        <v>1</v>
      </c>
      <c r="H33" s="6">
        <f>F33*3</f>
        <v>2592</v>
      </c>
      <c r="J33" s="4" t="s">
        <v>8</v>
      </c>
      <c r="K33" s="17">
        <v>22</v>
      </c>
    </row>
    <row r="34" spans="2:11" x14ac:dyDescent="0.3">
      <c r="B34" s="16"/>
      <c r="C34" s="5" t="s">
        <v>3</v>
      </c>
      <c r="D34" s="5">
        <v>0.1</v>
      </c>
      <c r="E34" s="5">
        <f>D34*K34</f>
        <v>19.8</v>
      </c>
      <c r="F34" s="9">
        <f>E34*K35</f>
        <v>237.60000000000002</v>
      </c>
      <c r="G34" s="10">
        <f>F34/F33</f>
        <v>0.27500000000000002</v>
      </c>
      <c r="H34" s="6">
        <f>F34*3</f>
        <v>712.80000000000007</v>
      </c>
      <c r="J34" s="4" t="s">
        <v>21</v>
      </c>
      <c r="K34" s="18">
        <f>K32*K33</f>
        <v>198</v>
      </c>
    </row>
    <row r="35" spans="2:11" x14ac:dyDescent="0.3">
      <c r="B35" s="19"/>
      <c r="F35" s="24">
        <f>F34*0.94</f>
        <v>223.34400000000002</v>
      </c>
      <c r="H35" s="21"/>
      <c r="J35" s="4" t="s">
        <v>20</v>
      </c>
      <c r="K35" s="17">
        <v>12</v>
      </c>
    </row>
    <row r="36" spans="2:11" x14ac:dyDescent="0.3">
      <c r="B36" s="19"/>
      <c r="F36" s="20"/>
      <c r="H36" s="21"/>
      <c r="J36" s="4" t="s">
        <v>19</v>
      </c>
      <c r="K36" s="18">
        <f>K34*K35</f>
        <v>2376</v>
      </c>
    </row>
    <row r="40" spans="2:11" x14ac:dyDescent="0.3">
      <c r="C40" s="3" t="s">
        <v>40</v>
      </c>
    </row>
    <row r="41" spans="2:11" x14ac:dyDescent="0.3">
      <c r="C41" t="s">
        <v>41</v>
      </c>
    </row>
    <row r="45" spans="2:11" ht="15" thickBot="1" x14ac:dyDescent="0.35"/>
    <row r="46" spans="2:11" x14ac:dyDescent="0.3">
      <c r="C46" s="13" t="s">
        <v>22</v>
      </c>
      <c r="D46" s="15"/>
    </row>
    <row r="47" spans="2:11" x14ac:dyDescent="0.3">
      <c r="C47" s="4" t="s">
        <v>11</v>
      </c>
      <c r="D47" s="18">
        <v>15</v>
      </c>
    </row>
    <row r="48" spans="2:11" x14ac:dyDescent="0.3">
      <c r="C48" s="4" t="s">
        <v>8</v>
      </c>
      <c r="D48" s="18">
        <v>30</v>
      </c>
    </row>
    <row r="49" spans="3:4" x14ac:dyDescent="0.3">
      <c r="C49" s="4" t="s">
        <v>21</v>
      </c>
      <c r="D49" s="18">
        <f>D48*D47</f>
        <v>450</v>
      </c>
    </row>
    <row r="50" spans="3:4" x14ac:dyDescent="0.3">
      <c r="C50" s="4" t="s">
        <v>20</v>
      </c>
      <c r="D50" s="17">
        <v>12</v>
      </c>
    </row>
    <row r="51" spans="3:4" x14ac:dyDescent="0.3">
      <c r="C51" s="4" t="s">
        <v>19</v>
      </c>
      <c r="D51" s="45">
        <f>D49*D50</f>
        <v>5400</v>
      </c>
    </row>
    <row r="53" spans="3:4" x14ac:dyDescent="0.3">
      <c r="C53" s="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(2)</vt:lpstr>
      <vt:lpstr>Redshift</vt:lpstr>
      <vt:lpstr>Sheet3</vt:lpstr>
      <vt:lpstr>Sheet2</vt:lpstr>
      <vt:lpstr>C4.large</vt:lpstr>
    </vt:vector>
  </TitlesOfParts>
  <Company>EMC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Vishwanath</dc:creator>
  <cp:lastModifiedBy>Vishwa M S</cp:lastModifiedBy>
  <dcterms:created xsi:type="dcterms:W3CDTF">2018-10-28T11:35:34Z</dcterms:created>
  <dcterms:modified xsi:type="dcterms:W3CDTF">2025-02-10T01:32:35Z</dcterms:modified>
</cp:coreProperties>
</file>